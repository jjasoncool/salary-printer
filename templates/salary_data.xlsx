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PC-005\Downloads\薪資單\"/>
    </mc:Choice>
  </mc:AlternateContent>
  <xr:revisionPtr revIDLastSave="0" documentId="13_ncr:1_{6B82A94B-35D3-4FEA-9FCF-21401B4ABA1E}" xr6:coauthVersionLast="47" xr6:coauthVersionMax="47" xr10:uidLastSave="{00000000-0000-0000-0000-000000000000}"/>
  <bookViews>
    <workbookView xWindow="39360" yWindow="2910" windowWidth="17295" windowHeight="11895" tabRatio="500" xr2:uid="{00000000-000D-0000-FFFF-FFFF00000000}"/>
  </bookViews>
  <sheets>
    <sheet name="薪資表" sheetId="1" r:id="rId1"/>
    <sheet name="人員" sheetId="2" r:id="rId2"/>
    <sheet name="扣繳選擇方式說明" sheetId="3" r:id="rId3"/>
  </sheets>
  <definedNames>
    <definedName name="_xlnm._FilterDatabase" localSheetId="0" hidden="1">薪資表!$A$4:$AH$7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F10" i="1" l="1"/>
  <c r="Q5" i="1"/>
  <c r="Q6" i="1"/>
  <c r="Q7" i="1"/>
  <c r="Q8" i="1"/>
  <c r="Z8" i="1" s="1"/>
  <c r="AG8" i="1" s="1"/>
  <c r="Q9" i="1"/>
  <c r="Q10" i="1"/>
  <c r="Y10" i="1"/>
  <c r="Z10" i="1"/>
  <c r="AF9" i="1"/>
  <c r="Y9" i="1"/>
  <c r="Z9" i="1"/>
  <c r="AG9" i="1" s="1"/>
  <c r="AF8" i="1"/>
  <c r="Y8" i="1"/>
  <c r="AF7" i="1"/>
  <c r="Y7" i="1"/>
  <c r="Z7" i="1"/>
  <c r="AG7" i="1" s="1"/>
  <c r="AF6" i="1"/>
  <c r="Y6" i="1"/>
  <c r="AF5" i="1"/>
  <c r="Y5" i="1"/>
  <c r="Z5" i="1"/>
  <c r="AG5" i="1" s="1"/>
  <c r="AG10" i="1" l="1"/>
  <c r="Z6" i="1"/>
  <c r="AG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D5" authorId="0" shapeId="0" xr:uid="{00000000-0006-0000-0000-000001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 xml:space="preserve">:
    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</t>
        </r>
        <r>
          <rPr>
            <sz val="10"/>
            <rFont val="Arial"/>
            <family val="2"/>
            <charset val="136"/>
          </rPr>
          <t>&gt;88500,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獎金都扣繳</t>
        </r>
        <r>
          <rPr>
            <sz val="10"/>
            <rFont val="Arial"/>
            <family val="2"/>
            <charset val="136"/>
          </rPr>
          <t>5%</t>
        </r>
      </text>
    </comment>
    <comment ref="R5" authorId="0" shapeId="0" xr:uid="{00000000-0006-0000-0000-000004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1100/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A5" authorId="0" shapeId="0" xr:uid="{00000000-0006-0000-0000-000009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3950/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B5" authorId="0" shapeId="0" xr:uid="{00000000-0006-0000-0000-00000E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3702/</t>
        </r>
        <r>
          <rPr>
            <sz val="10"/>
            <rFont val="微軟正黑體"/>
            <family val="2"/>
            <charset val="136"/>
          </rPr>
          <t>月</t>
        </r>
      </text>
    </comment>
    <comment ref="AC5" authorId="0" shapeId="0" xr:uid="{00000000-0006-0000-0000-000013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4590/</t>
        </r>
        <r>
          <rPr>
            <sz val="10"/>
            <rFont val="微軟正黑體"/>
            <family val="2"/>
            <charset val="136"/>
          </rPr>
          <t>月</t>
        </r>
      </text>
    </comment>
    <comment ref="D7" authorId="0" shapeId="0" xr:uid="{00000000-0006-0000-0000-000002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 xml:space="preserve">:
    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</t>
        </r>
        <r>
          <rPr>
            <sz val="10"/>
            <rFont val="Arial"/>
            <family val="2"/>
            <charset val="136"/>
          </rPr>
          <t>&gt;88500,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獎金都扣繳</t>
        </r>
        <r>
          <rPr>
            <sz val="10"/>
            <rFont val="Arial"/>
            <family val="2"/>
            <charset val="136"/>
          </rPr>
          <t>5%</t>
        </r>
      </text>
    </comment>
    <comment ref="R7" authorId="0" shapeId="0" xr:uid="{00000000-0006-0000-0000-000005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1100/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A7" authorId="0" shapeId="0" xr:uid="{00000000-0006-0000-0000-00000A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3950/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B7" authorId="0" shapeId="0" xr:uid="{00000000-0006-0000-0000-00000F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3702/</t>
        </r>
        <r>
          <rPr>
            <sz val="10"/>
            <rFont val="微軟正黑體"/>
            <family val="2"/>
            <charset val="136"/>
          </rPr>
          <t>月</t>
        </r>
      </text>
    </comment>
    <comment ref="AC7" authorId="0" shapeId="0" xr:uid="{00000000-0006-0000-0000-000014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4590/</t>
        </r>
        <r>
          <rPr>
            <sz val="10"/>
            <rFont val="微軟正黑體"/>
            <family val="2"/>
            <charset val="136"/>
          </rPr>
          <t>月</t>
        </r>
      </text>
    </comment>
    <comment ref="R8" authorId="0" shapeId="0" xr:uid="{00000000-0006-0000-0000-000006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1100/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A8" authorId="0" shapeId="0" xr:uid="{00000000-0006-0000-0000-00000B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3950/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B8" authorId="0" shapeId="0" xr:uid="{00000000-0006-0000-0000-000010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3702/</t>
        </r>
        <r>
          <rPr>
            <sz val="10"/>
            <rFont val="微軟正黑體"/>
            <family val="2"/>
            <charset val="136"/>
          </rPr>
          <t>月</t>
        </r>
      </text>
    </comment>
    <comment ref="AC8" authorId="0" shapeId="0" xr:uid="{00000000-0006-0000-0000-000015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4590/</t>
        </r>
        <r>
          <rPr>
            <sz val="10"/>
            <rFont val="微軟正黑體"/>
            <family val="2"/>
            <charset val="136"/>
          </rPr>
          <t>月</t>
        </r>
      </text>
    </comment>
    <comment ref="D9" authorId="0" shapeId="0" xr:uid="{00000000-0006-0000-0000-000003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 xml:space="preserve">:
    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</t>
        </r>
        <r>
          <rPr>
            <sz val="10"/>
            <rFont val="Arial"/>
            <family val="2"/>
            <charset val="136"/>
          </rPr>
          <t>&gt;88500,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獎金都扣繳</t>
        </r>
        <r>
          <rPr>
            <sz val="10"/>
            <rFont val="Arial"/>
            <family val="2"/>
            <charset val="136"/>
          </rPr>
          <t>5%</t>
        </r>
      </text>
    </comment>
    <comment ref="R9" authorId="0" shapeId="0" xr:uid="{00000000-0006-0000-0000-000007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1100/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A9" authorId="0" shapeId="0" xr:uid="{00000000-0006-0000-0000-00000C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3950/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B9" authorId="0" shapeId="0" xr:uid="{00000000-0006-0000-0000-000011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3702/</t>
        </r>
        <r>
          <rPr>
            <sz val="10"/>
            <rFont val="微軟正黑體"/>
            <family val="2"/>
            <charset val="136"/>
          </rPr>
          <t>月</t>
        </r>
      </text>
    </comment>
    <comment ref="AC9" authorId="0" shapeId="0" xr:uid="{00000000-0006-0000-0000-000016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4590/</t>
        </r>
        <r>
          <rPr>
            <sz val="10"/>
            <rFont val="微軟正黑體"/>
            <family val="2"/>
            <charset val="136"/>
          </rPr>
          <t>月</t>
        </r>
      </text>
    </comment>
    <comment ref="R10" authorId="0" shapeId="0" xr:uid="{00000000-0006-0000-0000-000008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1100/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A10" authorId="0" shapeId="0" xr:uid="{00000000-0006-0000-0000-00000D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3950/</t>
        </r>
        <r>
          <rPr>
            <sz val="10"/>
            <rFont val="微軟正黑體"/>
            <family val="2"/>
            <charset val="136"/>
          </rPr>
          <t>月</t>
        </r>
      </text>
    </comment>
    <comment ref="AB10" authorId="0" shapeId="0" xr:uid="{00000000-0006-0000-0000-000012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3702/</t>
        </r>
        <r>
          <rPr>
            <sz val="10"/>
            <rFont val="微軟正黑體"/>
            <family val="2"/>
            <charset val="136"/>
          </rPr>
          <t>月</t>
        </r>
      </text>
    </comment>
    <comment ref="AC10" authorId="0" shapeId="0" xr:uid="{00000000-0006-0000-0000-000017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>:
    4590/</t>
        </r>
        <r>
          <rPr>
            <sz val="10"/>
            <rFont val="微軟正黑體"/>
            <family val="2"/>
            <charset val="136"/>
          </rPr>
          <t>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作者不明</author>
  </authors>
  <commentList>
    <comment ref="A2" authorId="0" shapeId="0" xr:uid="{00000000-0006-0000-0100-000001000000}">
      <text>
        <r>
          <rPr>
            <sz val="10"/>
            <rFont val="Arial"/>
            <family val="2"/>
            <charset val="136"/>
          </rPr>
          <t>[</t>
        </r>
        <r>
          <rPr>
            <sz val="10"/>
            <rFont val="微軟正黑體"/>
            <family val="2"/>
            <charset val="136"/>
          </rPr>
          <t>對話串註解</t>
        </r>
        <r>
          <rPr>
            <sz val="10"/>
            <rFont val="Arial"/>
            <family val="2"/>
            <charset val="136"/>
          </rPr>
          <t xml:space="preserve">]
</t>
        </r>
        <r>
          <rPr>
            <sz val="10"/>
            <rFont val="微軟正黑體"/>
            <family val="2"/>
            <charset val="136"/>
          </rPr>
          <t xml:space="preserve">您的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版本可讓您讀取此對話串註解</t>
        </r>
        <r>
          <rPr>
            <sz val="10"/>
            <rFont val="Arial"/>
            <family val="2"/>
            <charset val="136"/>
          </rPr>
          <t xml:space="preserve">; </t>
        </r>
        <r>
          <rPr>
            <sz val="10"/>
            <rFont val="微軟正黑體"/>
            <family val="2"/>
            <charset val="136"/>
          </rPr>
          <t xml:space="preserve">但若以較新的 </t>
        </r>
        <r>
          <rPr>
            <sz val="10"/>
            <rFont val="Arial"/>
            <family val="2"/>
            <charset val="136"/>
          </rPr>
          <t xml:space="preserve">Excel </t>
        </r>
        <r>
          <rPr>
            <sz val="10"/>
            <rFont val="微軟正黑體"/>
            <family val="2"/>
            <charset val="136"/>
          </rPr>
          <t>版本開啟此檔案，將會移除對它進行的所有編輯。深入了解</t>
        </r>
        <r>
          <rPr>
            <sz val="10"/>
            <rFont val="Arial"/>
            <family val="2"/>
            <charset val="136"/>
          </rPr>
          <t>: https://go.microsoft.com/fwlink/?linkid=870924</t>
        </r>
        <r>
          <rPr>
            <sz val="10"/>
            <rFont val="微軟正黑體"/>
            <family val="2"/>
            <charset val="136"/>
          </rPr>
          <t>。
註解</t>
        </r>
        <r>
          <rPr>
            <sz val="10"/>
            <rFont val="Arial"/>
            <family val="2"/>
            <charset val="136"/>
          </rPr>
          <t xml:space="preserve">:
    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</t>
        </r>
        <r>
          <rPr>
            <sz val="10"/>
            <rFont val="Arial"/>
            <family val="2"/>
            <charset val="136"/>
          </rPr>
          <t>&gt;88500,</t>
        </r>
        <r>
          <rPr>
            <sz val="10"/>
            <rFont val="微軟正黑體"/>
            <family val="2"/>
            <charset val="136"/>
          </rPr>
          <t>薪資</t>
        </r>
        <r>
          <rPr>
            <sz val="10"/>
            <rFont val="Arial"/>
            <family val="2"/>
            <charset val="136"/>
          </rPr>
          <t>+</t>
        </r>
        <r>
          <rPr>
            <sz val="10"/>
            <rFont val="微軟正黑體"/>
            <family val="2"/>
            <charset val="136"/>
          </rPr>
          <t>獎金都扣繳</t>
        </r>
        <r>
          <rPr>
            <sz val="10"/>
            <rFont val="Arial"/>
            <family val="2"/>
            <charset val="136"/>
          </rPr>
          <t>5%</t>
        </r>
      </text>
    </comment>
  </commentList>
</comments>
</file>

<file path=xl/sharedStrings.xml><?xml version="1.0" encoding="utf-8"?>
<sst xmlns="http://schemas.openxmlformats.org/spreadsheetml/2006/main" count="72" uniqueCount="51">
  <si>
    <t>臺灣環海</t>
  </si>
  <si>
    <t>薪資表</t>
  </si>
  <si>
    <t>公司負擔</t>
  </si>
  <si>
    <t>編號</t>
  </si>
  <si>
    <t>年度</t>
  </si>
  <si>
    <t>月份</t>
  </si>
  <si>
    <t>姓名</t>
  </si>
  <si>
    <t>應發薪資</t>
  </si>
  <si>
    <t>小計</t>
  </si>
  <si>
    <t>應扣款項</t>
  </si>
  <si>
    <t>實領薪資</t>
  </si>
  <si>
    <t>勞保金額</t>
  </si>
  <si>
    <t>健保金額</t>
  </si>
  <si>
    <t>勞退6%金額</t>
  </si>
  <si>
    <t>其他</t>
  </si>
  <si>
    <t>單位
補充保費</t>
  </si>
  <si>
    <t>實付總额</t>
  </si>
  <si>
    <t>備註</t>
  </si>
  <si>
    <t>密碼</t>
  </si>
  <si>
    <t>加班費</t>
  </si>
  <si>
    <t>出差天數</t>
  </si>
  <si>
    <t>出差津貼</t>
  </si>
  <si>
    <t>海勤天數</t>
  </si>
  <si>
    <t>海勤津貼</t>
  </si>
  <si>
    <t>廚師津貼</t>
  </si>
  <si>
    <t>獎金</t>
  </si>
  <si>
    <t>請假天数</t>
  </si>
  <si>
    <t>請假扣款</t>
  </si>
  <si>
    <t>勞保自付額</t>
  </si>
  <si>
    <t>健保自付額</t>
  </si>
  <si>
    <t>健保金額
補充保費</t>
  </si>
  <si>
    <t>薪資扣繳</t>
  </si>
  <si>
    <t>海勤
所得稅5%</t>
  </si>
  <si>
    <t>自提勞退</t>
  </si>
  <si>
    <t>9月</t>
  </si>
  <si>
    <t>王大明</t>
  </si>
  <si>
    <t>ABC</t>
  </si>
  <si>
    <t>小名</t>
  </si>
  <si>
    <t>10月</t>
  </si>
  <si>
    <t>年終</t>
  </si>
  <si>
    <t>職位</t>
  </si>
  <si>
    <t>到職日</t>
  </si>
  <si>
    <t>扣繳選擇方式</t>
  </si>
  <si>
    <t>經理</t>
  </si>
  <si>
    <t>分</t>
  </si>
  <si>
    <t>工程師</t>
  </si>
  <si>
    <t>合</t>
  </si>
  <si>
    <t>薪資及津貼、獎金分別計算 ; 薪資(E-N)&gt;88500,查表扣繳 ;津貼、獎金(E+H+J+K+L-N)&gt;88500,扣繳5%</t>
  </si>
  <si>
    <t xml:space="preserve">薪資+津貼+獎金(E+H+J+K+L-N)&gt;88500,薪資及獎金，合併扣繳5% </t>
  </si>
  <si>
    <t>本薪</t>
    <phoneticPr fontId="10" type="noConversion"/>
  </si>
  <si>
    <t>職務加給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</si>
</sst>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_ "/>
    <numFmt numFmtId="177" formatCode="#,##0.00;[Red]#,##0.00"/>
    <numFmt numFmtId="178" formatCode="0_ "/>
    <numFmt numFmtId="179" formatCode="#,##0_ "/>
  </numFmts>
  <fonts count="11">
    <font>
      <sz val="12"/>
      <color theme="1"/>
      <name val="新細明體"/>
      <family val="2"/>
      <charset val="136"/>
    </font>
    <font>
      <sz val="12"/>
      <name val="宋体"/>
      <family val="3"/>
      <charset val="136"/>
    </font>
    <font>
      <sz val="12"/>
      <color theme="1"/>
      <name val="標楷體"/>
      <family val="4"/>
      <charset val="136"/>
    </font>
    <font>
      <b/>
      <sz val="28"/>
      <color theme="1"/>
      <name val="標楷體"/>
      <family val="4"/>
      <charset val="136"/>
    </font>
    <font>
      <sz val="24"/>
      <color theme="1"/>
      <name val="標楷體"/>
      <family val="4"/>
      <charset val="136"/>
    </font>
    <font>
      <sz val="14"/>
      <name val="標楷體"/>
      <family val="4"/>
      <charset val="136"/>
    </font>
    <font>
      <sz val="14"/>
      <color rgb="FF000000"/>
      <name val="標楷體"/>
      <family val="4"/>
      <charset val="136"/>
    </font>
    <font>
      <sz val="14"/>
      <color theme="1"/>
      <name val="標楷體"/>
      <family val="4"/>
      <charset val="136"/>
    </font>
    <font>
      <sz val="10"/>
      <name val="Arial"/>
      <family val="2"/>
      <charset val="136"/>
    </font>
    <font>
      <sz val="10"/>
      <name val="微軟正黑體"/>
      <family val="2"/>
      <charset val="136"/>
    </font>
    <font>
      <sz val="9"/>
      <name val="新細明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9" tint="0.79989013336588644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rgb="FFFAD2F0"/>
        <bgColor rgb="FFFBE5D6"/>
      </patternFill>
    </fill>
    <fill>
      <patternFill patternType="solid">
        <fgColor theme="0" tint="-4.9989318521683403E-2"/>
        <bgColor rgb="FFE2F0D9"/>
      </patternFill>
    </fill>
    <fill>
      <patternFill patternType="solid">
        <fgColor theme="5" tint="0.79989013336588644"/>
        <bgColor rgb="FFF2F2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">
    <xf numFmtId="0" fontId="0" fillId="0" borderId="0" xfId="0">
      <alignment vertical="center"/>
    </xf>
    <xf numFmtId="177" fontId="6" fillId="0" borderId="1" xfId="1" applyNumberFormat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3" fillId="0" borderId="0" xfId="0" applyFont="1">
      <alignment vertical="center"/>
    </xf>
    <xf numFmtId="0" fontId="2" fillId="3" borderId="0" xfId="0" applyFont="1" applyFill="1">
      <alignment vertical="center"/>
    </xf>
    <xf numFmtId="0" fontId="4" fillId="0" borderId="0" xfId="0" applyFont="1">
      <alignment vertical="center"/>
    </xf>
    <xf numFmtId="178" fontId="5" fillId="5" borderId="1" xfId="1" applyNumberFormat="1" applyFont="1" applyFill="1" applyBorder="1" applyAlignment="1">
      <alignment horizontal="center" vertical="center"/>
    </xf>
    <xf numFmtId="178" fontId="5" fillId="5" borderId="1" xfId="1" applyNumberFormat="1" applyFont="1" applyFill="1" applyBorder="1" applyAlignment="1">
      <alignment horizontal="center" vertical="center" wrapText="1"/>
    </xf>
    <xf numFmtId="179" fontId="5" fillId="5" borderId="1" xfId="1" applyNumberFormat="1" applyFont="1" applyFill="1" applyBorder="1" applyAlignment="1">
      <alignment horizontal="right" vertical="center"/>
    </xf>
    <xf numFmtId="0" fontId="2" fillId="5" borderId="0" xfId="0" applyFont="1" applyFill="1">
      <alignment vertical="center"/>
    </xf>
    <xf numFmtId="0" fontId="7" fillId="5" borderId="1" xfId="0" applyFont="1" applyFill="1" applyBorder="1">
      <alignment vertical="center"/>
    </xf>
    <xf numFmtId="0" fontId="2" fillId="5" borderId="1" xfId="0" applyFont="1" applyFill="1" applyBorder="1" applyAlignment="1">
      <alignment horizontal="center" vertical="center"/>
    </xf>
    <xf numFmtId="178" fontId="5" fillId="6" borderId="1" xfId="1" applyNumberFormat="1" applyFont="1" applyFill="1" applyBorder="1" applyAlignment="1">
      <alignment horizontal="center" vertical="center"/>
    </xf>
    <xf numFmtId="178" fontId="5" fillId="6" borderId="1" xfId="1" applyNumberFormat="1" applyFont="1" applyFill="1" applyBorder="1" applyAlignment="1">
      <alignment horizontal="center" vertical="center" wrapText="1"/>
    </xf>
    <xf numFmtId="179" fontId="5" fillId="6" borderId="1" xfId="1" applyNumberFormat="1" applyFont="1" applyFill="1" applyBorder="1" applyAlignment="1">
      <alignment horizontal="right" vertical="center"/>
    </xf>
    <xf numFmtId="0" fontId="7" fillId="6" borderId="1" xfId="0" applyFont="1" applyFill="1" applyBorder="1">
      <alignment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0" xfId="0" applyFont="1" applyFill="1">
      <alignment vertical="center"/>
    </xf>
    <xf numFmtId="14" fontId="0" fillId="0" borderId="0" xfId="0" applyNumberFormat="1">
      <alignment vertical="center"/>
    </xf>
    <xf numFmtId="14" fontId="5" fillId="0" borderId="1" xfId="1" applyNumberFormat="1" applyFont="1" applyBorder="1" applyAlignment="1">
      <alignment horizontal="center" vertical="center" wrapText="1"/>
    </xf>
    <xf numFmtId="14" fontId="5" fillId="5" borderId="1" xfId="1" applyNumberFormat="1" applyFont="1" applyFill="1" applyBorder="1" applyAlignment="1">
      <alignment horizontal="center" vertical="center"/>
    </xf>
    <xf numFmtId="14" fontId="5" fillId="5" borderId="1" xfId="1" applyNumberFormat="1" applyFont="1" applyFill="1" applyBorder="1" applyAlignment="1">
      <alignment horizontal="center" vertical="center" wrapText="1"/>
    </xf>
    <xf numFmtId="176" fontId="5" fillId="2" borderId="1" xfId="1" applyNumberFormat="1" applyFont="1" applyFill="1" applyBorder="1" applyAlignment="1">
      <alignment horizontal="center" vertical="center"/>
    </xf>
    <xf numFmtId="176" fontId="5" fillId="2" borderId="1" xfId="1" applyNumberFormat="1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6" fillId="0" borderId="1" xfId="1" applyFont="1" applyBorder="1" applyAlignment="1">
      <alignment horizontal="center" vertical="center" wrapText="1"/>
    </xf>
    <xf numFmtId="177" fontId="6" fillId="0" borderId="1" xfId="1" applyNumberFormat="1" applyFont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/>
    </xf>
  </cellXfs>
  <cellStyles count="2">
    <cellStyle name="一般" xfId="0" builtinId="0"/>
    <cellStyle name="一般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FAD2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BE5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11"/>
  <sheetViews>
    <sheetView tabSelected="1" topLeftCell="A3" zoomScaleNormal="100" workbookViewId="0">
      <pane xSplit="4" ySplit="2" topLeftCell="AD5" activePane="bottomRight" state="frozen"/>
      <selection activeCell="A3" sqref="A3"/>
      <selection pane="topRight" activeCell="E3" sqref="E3"/>
      <selection pane="bottomLeft" activeCell="A5" sqref="A5"/>
      <selection pane="bottomRight" activeCell="B11" sqref="B11:AI11"/>
    </sheetView>
  </sheetViews>
  <sheetFormatPr defaultColWidth="9" defaultRowHeight="16.5"/>
  <cols>
    <col min="1" max="1" width="6.375" style="4" customWidth="1"/>
    <col min="2" max="2" width="7.625" style="4" customWidth="1"/>
    <col min="3" max="4" width="9" style="4"/>
    <col min="5" max="6" width="11.875" style="4" customWidth="1"/>
    <col min="7" max="15" width="13.25" style="4" customWidth="1"/>
    <col min="16" max="16" width="12.625" style="4" customWidth="1"/>
    <col min="17" max="17" width="11.875" style="4" customWidth="1"/>
    <col min="18" max="18" width="16.125" style="4" customWidth="1"/>
    <col min="19" max="19" width="16" style="4" customWidth="1"/>
    <col min="20" max="21" width="14.375" style="4" customWidth="1"/>
    <col min="22" max="24" width="13.25" style="4" customWidth="1"/>
    <col min="25" max="25" width="10.5" style="4" customWidth="1"/>
    <col min="26" max="26" width="11.875" style="4" customWidth="1"/>
    <col min="27" max="28" width="13.25" style="4" customWidth="1"/>
    <col min="29" max="31" width="13.125" style="4" customWidth="1"/>
    <col min="32" max="32" width="10.375" style="4" customWidth="1"/>
    <col min="33" max="33" width="11.875" style="5" customWidth="1"/>
    <col min="34" max="34" width="39.625" style="4" customWidth="1"/>
    <col min="35" max="16384" width="9" style="4"/>
  </cols>
  <sheetData>
    <row r="1" spans="1:35" ht="38.25" hidden="1">
      <c r="A1" s="6" t="s">
        <v>0</v>
      </c>
      <c r="B1" s="6"/>
      <c r="AG1" s="7"/>
    </row>
    <row r="2" spans="1:35" ht="32.25" hidden="1">
      <c r="A2" s="8" t="s">
        <v>1</v>
      </c>
      <c r="B2" s="8"/>
      <c r="AA2" s="25" t="s">
        <v>2</v>
      </c>
      <c r="AB2" s="25"/>
      <c r="AC2" s="25"/>
      <c r="AD2" s="25"/>
      <c r="AE2" s="25"/>
      <c r="AF2" s="25"/>
      <c r="AG2" s="4"/>
    </row>
    <row r="3" spans="1:35" ht="19.5" customHeight="1">
      <c r="A3" s="29" t="s">
        <v>3</v>
      </c>
      <c r="B3" s="29" t="s">
        <v>4</v>
      </c>
      <c r="C3" s="29" t="s">
        <v>5</v>
      </c>
      <c r="D3" s="29" t="s">
        <v>6</v>
      </c>
      <c r="E3" s="27" t="s">
        <v>7</v>
      </c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30" t="s">
        <v>8</v>
      </c>
      <c r="R3" s="31" t="s">
        <v>9</v>
      </c>
      <c r="S3" s="31"/>
      <c r="T3" s="31"/>
      <c r="U3" s="31"/>
      <c r="V3" s="31"/>
      <c r="W3" s="31"/>
      <c r="X3" s="31"/>
      <c r="Y3" s="30" t="s">
        <v>8</v>
      </c>
      <c r="Z3" s="32" t="s">
        <v>10</v>
      </c>
      <c r="AA3" s="25" t="s">
        <v>11</v>
      </c>
      <c r="AB3" s="25" t="s">
        <v>12</v>
      </c>
      <c r="AC3" s="25" t="s">
        <v>13</v>
      </c>
      <c r="AD3" s="25" t="s">
        <v>14</v>
      </c>
      <c r="AE3" s="26" t="s">
        <v>15</v>
      </c>
      <c r="AF3" s="25" t="s">
        <v>8</v>
      </c>
      <c r="AG3" s="25" t="s">
        <v>16</v>
      </c>
      <c r="AH3" s="27" t="s">
        <v>17</v>
      </c>
      <c r="AI3" s="28" t="s">
        <v>18</v>
      </c>
    </row>
    <row r="4" spans="1:35" ht="39">
      <c r="A4" s="29"/>
      <c r="B4" s="29"/>
      <c r="C4" s="29"/>
      <c r="D4" s="29"/>
      <c r="E4" s="3" t="s">
        <v>49</v>
      </c>
      <c r="F4" s="3" t="s">
        <v>50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  <c r="L4" s="3" t="s">
        <v>24</v>
      </c>
      <c r="M4" s="3" t="s">
        <v>25</v>
      </c>
      <c r="N4" s="2" t="s">
        <v>26</v>
      </c>
      <c r="O4" s="2" t="s">
        <v>27</v>
      </c>
      <c r="P4" s="2" t="s">
        <v>14</v>
      </c>
      <c r="Q4" s="30"/>
      <c r="R4" s="1" t="s">
        <v>28</v>
      </c>
      <c r="S4" s="3" t="s">
        <v>29</v>
      </c>
      <c r="T4" s="1" t="s">
        <v>30</v>
      </c>
      <c r="U4" s="1" t="s">
        <v>31</v>
      </c>
      <c r="V4" s="1" t="s">
        <v>32</v>
      </c>
      <c r="W4" s="1" t="s">
        <v>33</v>
      </c>
      <c r="X4" s="1" t="s">
        <v>14</v>
      </c>
      <c r="Y4" s="30"/>
      <c r="Z4" s="32"/>
      <c r="AA4" s="25"/>
      <c r="AB4" s="25"/>
      <c r="AC4" s="25"/>
      <c r="AD4" s="25"/>
      <c r="AE4" s="25"/>
      <c r="AF4" s="25"/>
      <c r="AG4" s="25"/>
      <c r="AH4" s="27"/>
      <c r="AI4" s="28"/>
    </row>
    <row r="5" spans="1:35" s="12" customFormat="1" ht="19.5">
      <c r="A5" s="9">
        <v>1</v>
      </c>
      <c r="B5" s="9">
        <v>2026</v>
      </c>
      <c r="C5" s="10" t="s">
        <v>34</v>
      </c>
      <c r="D5" s="10" t="s">
        <v>35</v>
      </c>
      <c r="E5" s="11">
        <v>60000</v>
      </c>
      <c r="F5" s="11"/>
      <c r="G5" s="11">
        <v>32000</v>
      </c>
      <c r="H5" s="11">
        <v>1</v>
      </c>
      <c r="I5" s="11">
        <v>1000</v>
      </c>
      <c r="J5" s="11">
        <v>2</v>
      </c>
      <c r="K5" s="11">
        <v>4000</v>
      </c>
      <c r="L5" s="11">
        <v>500</v>
      </c>
      <c r="M5" s="11">
        <v>300</v>
      </c>
      <c r="N5" s="11">
        <v>1</v>
      </c>
      <c r="O5" s="11">
        <v>1000</v>
      </c>
      <c r="Q5" s="11">
        <f>E5+G5+I5+K5+L5+M5-O5+P5+F5</f>
        <v>96800</v>
      </c>
      <c r="R5" s="11">
        <v>1100</v>
      </c>
      <c r="S5" s="11">
        <v>859</v>
      </c>
      <c r="T5" s="11">
        <v>0</v>
      </c>
      <c r="U5" s="11">
        <v>1000</v>
      </c>
      <c r="V5" s="11">
        <v>200</v>
      </c>
      <c r="W5" s="11">
        <v>1000</v>
      </c>
      <c r="X5" s="11">
        <v>1000</v>
      </c>
      <c r="Y5" s="11">
        <f t="shared" ref="Y5:Y10" si="0">SUM(R5:X5)</f>
        <v>5159</v>
      </c>
      <c r="Z5" s="11">
        <f t="shared" ref="Z5:Z10" si="1">Q5-Y5</f>
        <v>91641</v>
      </c>
      <c r="AA5" s="11">
        <v>3926</v>
      </c>
      <c r="AB5" s="11">
        <v>2681</v>
      </c>
      <c r="AC5" s="11">
        <v>3324</v>
      </c>
      <c r="AD5" s="11"/>
      <c r="AE5" s="11"/>
      <c r="AF5" s="11">
        <f t="shared" ref="AF5:AF10" si="2">SUM(AA5:AD5)</f>
        <v>9931</v>
      </c>
      <c r="AG5" s="11">
        <f t="shared" ref="AG5:AG10" si="3">Z5+AF5</f>
        <v>101572</v>
      </c>
      <c r="AH5" s="13"/>
      <c r="AI5" s="14" t="s">
        <v>36</v>
      </c>
    </row>
    <row r="6" spans="1:35" s="12" customFormat="1" ht="19.5">
      <c r="A6" s="9">
        <v>2</v>
      </c>
      <c r="B6" s="9">
        <v>2026</v>
      </c>
      <c r="C6" s="10" t="s">
        <v>34</v>
      </c>
      <c r="D6" s="10" t="s">
        <v>37</v>
      </c>
      <c r="E6" s="11">
        <v>50000</v>
      </c>
      <c r="F6" s="11"/>
      <c r="G6" s="11">
        <v>1000</v>
      </c>
      <c r="H6" s="11">
        <v>2</v>
      </c>
      <c r="I6" s="11">
        <v>2000</v>
      </c>
      <c r="J6" s="11">
        <v>1</v>
      </c>
      <c r="K6" s="11">
        <v>2000</v>
      </c>
      <c r="L6" s="11"/>
      <c r="M6" s="11">
        <v>500</v>
      </c>
      <c r="N6" s="11"/>
      <c r="O6" s="11"/>
      <c r="P6" s="11"/>
      <c r="Q6" s="11">
        <f t="shared" ref="Q6:Q10" si="4">E6+G6+I6+K6+L6+M6-O6+P6+F6</f>
        <v>55500</v>
      </c>
      <c r="R6" s="11">
        <v>1100</v>
      </c>
      <c r="S6" s="11">
        <v>859</v>
      </c>
      <c r="T6" s="11"/>
      <c r="U6" s="11">
        <v>3000</v>
      </c>
      <c r="V6" s="11"/>
      <c r="W6" s="11"/>
      <c r="X6" s="11"/>
      <c r="Y6" s="11">
        <f t="shared" si="0"/>
        <v>4959</v>
      </c>
      <c r="Z6" s="11">
        <f t="shared" si="1"/>
        <v>50541</v>
      </c>
      <c r="AA6" s="11">
        <v>3926</v>
      </c>
      <c r="AB6" s="11">
        <v>2681</v>
      </c>
      <c r="AC6" s="11">
        <v>3324</v>
      </c>
      <c r="AD6" s="11"/>
      <c r="AE6" s="11">
        <v>500</v>
      </c>
      <c r="AF6" s="11">
        <f t="shared" si="2"/>
        <v>9931</v>
      </c>
      <c r="AG6" s="11">
        <f t="shared" si="3"/>
        <v>60472</v>
      </c>
      <c r="AH6" s="13"/>
      <c r="AI6" s="14" t="s">
        <v>36</v>
      </c>
    </row>
    <row r="7" spans="1:35" s="20" customFormat="1" ht="19.5">
      <c r="A7" s="15">
        <v>1</v>
      </c>
      <c r="B7" s="15">
        <v>2026</v>
      </c>
      <c r="C7" s="16" t="s">
        <v>38</v>
      </c>
      <c r="D7" s="10" t="s">
        <v>35</v>
      </c>
      <c r="E7" s="17">
        <v>60000</v>
      </c>
      <c r="F7" s="17"/>
      <c r="G7" s="17">
        <v>2000</v>
      </c>
      <c r="H7" s="17"/>
      <c r="I7" s="17"/>
      <c r="J7" s="17"/>
      <c r="K7" s="17"/>
      <c r="L7" s="17"/>
      <c r="M7" s="17"/>
      <c r="N7" s="17"/>
      <c r="O7" s="17"/>
      <c r="P7" s="17"/>
      <c r="Q7" s="11">
        <f t="shared" si="4"/>
        <v>62000</v>
      </c>
      <c r="R7" s="17">
        <v>1100</v>
      </c>
      <c r="S7" s="17">
        <v>859</v>
      </c>
      <c r="T7" s="17">
        <v>0</v>
      </c>
      <c r="U7" s="17">
        <v>0</v>
      </c>
      <c r="V7" s="17">
        <v>0</v>
      </c>
      <c r="W7" s="17"/>
      <c r="X7" s="17"/>
      <c r="Y7" s="17">
        <f t="shared" si="0"/>
        <v>1959</v>
      </c>
      <c r="Z7" s="17">
        <f t="shared" si="1"/>
        <v>60041</v>
      </c>
      <c r="AA7" s="17">
        <v>3926</v>
      </c>
      <c r="AB7" s="17">
        <v>2681</v>
      </c>
      <c r="AC7" s="17">
        <v>3324</v>
      </c>
      <c r="AD7" s="17"/>
      <c r="AE7" s="17"/>
      <c r="AF7" s="11">
        <f t="shared" si="2"/>
        <v>9931</v>
      </c>
      <c r="AG7" s="17">
        <f t="shared" si="3"/>
        <v>69972</v>
      </c>
      <c r="AH7" s="18"/>
      <c r="AI7" s="19" t="s">
        <v>36</v>
      </c>
    </row>
    <row r="8" spans="1:35" s="20" customFormat="1" ht="19.5">
      <c r="A8" s="15">
        <v>2</v>
      </c>
      <c r="B8" s="15">
        <v>2026</v>
      </c>
      <c r="C8" s="16" t="s">
        <v>38</v>
      </c>
      <c r="D8" s="10" t="s">
        <v>37</v>
      </c>
      <c r="E8" s="17">
        <v>60000</v>
      </c>
      <c r="F8" s="17"/>
      <c r="G8" s="17"/>
      <c r="H8" s="17"/>
      <c r="I8" s="17"/>
      <c r="J8" s="17">
        <v>1</v>
      </c>
      <c r="K8" s="17">
        <v>1000</v>
      </c>
      <c r="L8" s="17"/>
      <c r="M8" s="17"/>
      <c r="N8" s="17"/>
      <c r="O8" s="17"/>
      <c r="P8" s="17"/>
      <c r="Q8" s="11">
        <f t="shared" si="4"/>
        <v>61000</v>
      </c>
      <c r="R8" s="17">
        <v>1100</v>
      </c>
      <c r="S8" s="17">
        <v>859</v>
      </c>
      <c r="T8" s="17">
        <v>200</v>
      </c>
      <c r="U8" s="17">
        <v>0</v>
      </c>
      <c r="V8" s="17">
        <v>0</v>
      </c>
      <c r="W8" s="17"/>
      <c r="X8" s="17"/>
      <c r="Y8" s="17">
        <f t="shared" si="0"/>
        <v>2159</v>
      </c>
      <c r="Z8" s="17">
        <f t="shared" si="1"/>
        <v>58841</v>
      </c>
      <c r="AA8" s="17">
        <v>3926</v>
      </c>
      <c r="AB8" s="17">
        <v>2681</v>
      </c>
      <c r="AC8" s="17">
        <v>3324</v>
      </c>
      <c r="AD8" s="17"/>
      <c r="AE8" s="17"/>
      <c r="AF8" s="11">
        <f t="shared" si="2"/>
        <v>9931</v>
      </c>
      <c r="AG8" s="17">
        <f>Z8+AF8</f>
        <v>68772</v>
      </c>
      <c r="AH8" s="18"/>
      <c r="AI8" s="19" t="s">
        <v>36</v>
      </c>
    </row>
    <row r="9" spans="1:35" ht="19.5">
      <c r="A9" s="15">
        <v>1</v>
      </c>
      <c r="B9" s="15">
        <v>2026</v>
      </c>
      <c r="C9" s="16" t="s">
        <v>39</v>
      </c>
      <c r="D9" s="10" t="s">
        <v>35</v>
      </c>
      <c r="E9" s="17">
        <v>70000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1">
        <f t="shared" si="4"/>
        <v>70000</v>
      </c>
      <c r="R9" s="17">
        <v>1100</v>
      </c>
      <c r="S9" s="17">
        <v>859</v>
      </c>
      <c r="T9" s="17">
        <v>0</v>
      </c>
      <c r="U9" s="17">
        <v>0</v>
      </c>
      <c r="V9" s="17">
        <v>0</v>
      </c>
      <c r="W9" s="17"/>
      <c r="X9" s="17"/>
      <c r="Y9" s="17">
        <f t="shared" si="0"/>
        <v>1959</v>
      </c>
      <c r="Z9" s="17">
        <f t="shared" si="1"/>
        <v>68041</v>
      </c>
      <c r="AA9" s="17">
        <v>3926</v>
      </c>
      <c r="AB9" s="17">
        <v>2681</v>
      </c>
      <c r="AC9" s="17">
        <v>3324</v>
      </c>
      <c r="AD9" s="17"/>
      <c r="AE9" s="17"/>
      <c r="AF9" s="11">
        <f t="shared" si="2"/>
        <v>9931</v>
      </c>
      <c r="AG9" s="17">
        <f t="shared" si="3"/>
        <v>77972</v>
      </c>
      <c r="AH9" s="18"/>
      <c r="AI9" s="19" t="s">
        <v>36</v>
      </c>
    </row>
    <row r="10" spans="1:35" ht="19.5">
      <c r="A10" s="15">
        <v>2</v>
      </c>
      <c r="B10" s="15">
        <v>2026</v>
      </c>
      <c r="C10" s="16" t="s">
        <v>39</v>
      </c>
      <c r="D10" s="10" t="s">
        <v>37</v>
      </c>
      <c r="E10" s="17">
        <v>70000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1">
        <f t="shared" si="4"/>
        <v>70000</v>
      </c>
      <c r="R10" s="17">
        <v>1100</v>
      </c>
      <c r="S10" s="17">
        <v>859</v>
      </c>
      <c r="T10" s="17">
        <v>0</v>
      </c>
      <c r="U10" s="17">
        <v>0</v>
      </c>
      <c r="V10" s="17">
        <v>0</v>
      </c>
      <c r="W10" s="17"/>
      <c r="X10" s="17"/>
      <c r="Y10" s="17">
        <f t="shared" si="0"/>
        <v>1959</v>
      </c>
      <c r="Z10" s="17">
        <f t="shared" si="1"/>
        <v>68041</v>
      </c>
      <c r="AA10" s="17">
        <v>3926</v>
      </c>
      <c r="AB10" s="17">
        <v>2681</v>
      </c>
      <c r="AC10" s="17">
        <v>3324</v>
      </c>
      <c r="AD10" s="17"/>
      <c r="AE10" s="17"/>
      <c r="AF10" s="11">
        <f>SUM(AA10:AD10)</f>
        <v>9931</v>
      </c>
      <c r="AG10" s="17">
        <f t="shared" si="3"/>
        <v>77972</v>
      </c>
      <c r="AH10" s="18"/>
      <c r="AI10" s="19" t="s">
        <v>36</v>
      </c>
    </row>
    <row r="11" spans="1:35">
      <c r="AG11" s="4"/>
    </row>
  </sheetData>
  <autoFilter ref="A4:AH7" xr:uid="{00000000-0009-0000-0000-000000000000}"/>
  <mergeCells count="19">
    <mergeCell ref="AI3:AI4"/>
    <mergeCell ref="AA2:AF2"/>
    <mergeCell ref="A3:A4"/>
    <mergeCell ref="B3:B4"/>
    <mergeCell ref="C3:C4"/>
    <mergeCell ref="D3:D4"/>
    <mergeCell ref="E3:P3"/>
    <mergeCell ref="Q3:Q4"/>
    <mergeCell ref="R3:X3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phoneticPr fontId="10" type="noConversion"/>
  <pageMargins left="0.7" right="0.7" top="0.75" bottom="0.75" header="0.511811023622047" footer="0.511811023622047"/>
  <pageSetup paperSize="9" fitToHeight="0" orientation="landscape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zoomScaleNormal="100" workbookViewId="0"/>
  </sheetViews>
  <sheetFormatPr defaultColWidth="8.625" defaultRowHeight="16.5"/>
  <cols>
    <col min="3" max="3" width="11.875" style="21" customWidth="1"/>
    <col min="4" max="4" width="11.625" style="21" customWidth="1"/>
  </cols>
  <sheetData>
    <row r="1" spans="1:4" ht="39">
      <c r="A1" s="3" t="s">
        <v>6</v>
      </c>
      <c r="B1" s="3" t="s">
        <v>40</v>
      </c>
      <c r="C1" s="22" t="s">
        <v>41</v>
      </c>
      <c r="D1" s="22" t="s">
        <v>42</v>
      </c>
    </row>
    <row r="2" spans="1:4" ht="19.5">
      <c r="A2" s="10" t="s">
        <v>35</v>
      </c>
      <c r="B2" s="10" t="s">
        <v>43</v>
      </c>
      <c r="C2" s="23">
        <v>45292</v>
      </c>
      <c r="D2" s="24" t="s">
        <v>44</v>
      </c>
    </row>
    <row r="3" spans="1:4" ht="19.5">
      <c r="A3" s="10" t="s">
        <v>37</v>
      </c>
      <c r="B3" s="10" t="s">
        <v>45</v>
      </c>
      <c r="C3" s="23">
        <v>45352</v>
      </c>
      <c r="D3" s="24" t="s">
        <v>46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4"/>
  <sheetViews>
    <sheetView zoomScaleNormal="100" workbookViewId="0"/>
  </sheetViews>
  <sheetFormatPr defaultColWidth="8.625" defaultRowHeight="16.5"/>
  <cols>
    <col min="2" max="2" width="63.375" customWidth="1"/>
  </cols>
  <sheetData>
    <row r="3" spans="1:2">
      <c r="A3" t="s">
        <v>44</v>
      </c>
      <c r="B3" t="s">
        <v>47</v>
      </c>
    </row>
    <row r="4" spans="1:2">
      <c r="A4" t="s">
        <v>46</v>
      </c>
      <c r="B4" t="s">
        <v>48</v>
      </c>
    </row>
  </sheetData>
  <phoneticPr fontId="10" type="noConversion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薪資表</vt:lpstr>
      <vt:lpstr>人員</vt:lpstr>
      <vt:lpstr>扣繳選擇方式說明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sonic</dc:creator>
  <dc:description/>
  <cp:lastModifiedBy>Jason Jan</cp:lastModifiedBy>
  <cp:revision>2</cp:revision>
  <cp:lastPrinted>2024-11-07T10:14:19Z</cp:lastPrinted>
  <dcterms:created xsi:type="dcterms:W3CDTF">2022-02-16T03:39:55Z</dcterms:created>
  <dcterms:modified xsi:type="dcterms:W3CDTF">2026-03-02T03:53:56Z</dcterms:modified>
  <dc:language>zh-TW</dc:language>
</cp:coreProperties>
</file>